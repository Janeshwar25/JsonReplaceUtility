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>
    <mc:Choice Requires="x15">
      <x15ac:absPath xmlns:x15ac="http://schemas.microsoft.com/office/spreadsheetml/2010/11/ac" url="C:\Users\jchowdha\Desktop\Accelq_Janesh\ACCELQAgent\AgentInstances\agent\user_data\"/>
    </mc:Choice>
  </mc:AlternateContent>
  <xr:revisionPtr revIDLastSave="0" documentId="13_ncr:1_{E37A69F4-B311-4D1A-98FC-29B71E54A0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MGList" sheetId="2" r:id="rId2"/>
    <sheet name="CirrusValidation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C32" i="2"/>
  <c r="C33" i="2"/>
  <c r="C34" i="2"/>
  <c r="C35" i="2"/>
  <c r="C36" i="2"/>
  <c r="C37" i="2"/>
  <c r="C38" i="2"/>
  <c r="C39" i="2"/>
  <c r="C40" i="2"/>
  <c r="C41" i="2"/>
  <c r="C29" i="2"/>
  <c r="C30" i="2"/>
  <c r="C31" i="2"/>
  <c r="C28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14" i="2"/>
  <c r="C2" i="2"/>
  <c r="C3" i="2"/>
  <c r="C4" i="2"/>
  <c r="C5" i="2"/>
  <c r="C6" i="2"/>
  <c r="C7" i="2"/>
  <c r="C8" i="2"/>
  <c r="C9" i="2"/>
  <c r="C10" i="2"/>
  <c r="C11" i="2"/>
  <c r="C12" i="2"/>
  <c r="C13" i="2"/>
  <c r="C1" i="2"/>
</calcChain>
</file>

<file path=xl/sharedStrings.xml><?xml version="1.0" encoding="utf-8"?>
<sst xmlns="http://schemas.openxmlformats.org/spreadsheetml/2006/main" count="387" uniqueCount="256">
  <si>
    <t>EffDate</t>
  </si>
  <si>
    <t>Network</t>
  </si>
  <si>
    <t>COC</t>
  </si>
  <si>
    <t>Input_State</t>
  </si>
  <si>
    <t>Input_City</t>
  </si>
  <si>
    <t>ZipCode</t>
  </si>
  <si>
    <t>County</t>
  </si>
  <si>
    <t>PlanName</t>
  </si>
  <si>
    <t>RXCode</t>
  </si>
  <si>
    <t>AccelQFI202602441702520</t>
  </si>
  <si>
    <t>AccelQFI202602441802120</t>
  </si>
  <si>
    <t>AccelQGNFI202602441802390</t>
  </si>
  <si>
    <t>Error</t>
  </si>
  <si>
    <t>AccelQFI202602461202236</t>
  </si>
  <si>
    <t>AccelQhDFI202602461202975</t>
  </si>
  <si>
    <t>AccelQFI202602461202860</t>
  </si>
  <si>
    <t>AccelQYpFI202602461202951</t>
  </si>
  <si>
    <t>AccelQEFI20260246130283</t>
  </si>
  <si>
    <t>AccelQkxFI202602461302144</t>
  </si>
  <si>
    <t>Customer Number(s): USP - 5453207</t>
  </si>
  <si>
    <t>AccelQzFI202602461302278</t>
  </si>
  <si>
    <t>Customer Number(s): USP - 5453208</t>
  </si>
  <si>
    <t>AccelQwwFI202602471302785</t>
  </si>
  <si>
    <t>AccelQyFI202602491502551</t>
  </si>
  <si>
    <t>AccelQvAFI202602491502630</t>
  </si>
  <si>
    <t>Customer Number(s): USP - 5461120</t>
  </si>
  <si>
    <t>AccelQujFI202602501302393</t>
  </si>
  <si>
    <t>AccelQFI202602501502202</t>
  </si>
  <si>
    <t>AccelQfpFI202602501502234</t>
  </si>
  <si>
    <t>AccelQtHFI202602501502903</t>
  </si>
  <si>
    <t>AccelQRFI202602501702661</t>
  </si>
  <si>
    <t>AccelQiFI202602541202611</t>
  </si>
  <si>
    <t>AccelQxFI20260254120257</t>
  </si>
  <si>
    <t>AccelQFI202602541502591</t>
  </si>
  <si>
    <t>AccelQKFI202602541602114</t>
  </si>
  <si>
    <t>AccelQFI202602551302738</t>
  </si>
  <si>
    <t>AccelQtnFI202602551302689</t>
  </si>
  <si>
    <t>AccelQUwFI202602551302919</t>
  </si>
  <si>
    <t>Customer Number(s): USP - 5473051</t>
  </si>
  <si>
    <t>AccelQKBFI202602561502103</t>
  </si>
  <si>
    <t>In Progress</t>
  </si>
  <si>
    <t>Customer Number(s): USP - 5476983</t>
  </si>
  <si>
    <t>AccelQHFI202602561502734</t>
  </si>
  <si>
    <t>Legal Entity</t>
  </si>
  <si>
    <t>Neighborhood Health Partnership, Inc.</t>
  </si>
  <si>
    <t>blank</t>
  </si>
  <si>
    <t>Oxford Health Plans, LLC</t>
  </si>
  <si>
    <t>All Savers Insurance Company</t>
  </si>
  <si>
    <t>All Savers Life Insurance Company of CA</t>
  </si>
  <si>
    <t>BIND BENEFITS INC.</t>
  </si>
  <si>
    <t>MAMSI Life and Health Insurance Company</t>
  </si>
  <si>
    <t>MD-Individual Practice Association, Inc.</t>
  </si>
  <si>
    <t>Optimum Choice, Inc.</t>
  </si>
  <si>
    <t>Oxford Health Insurance, Inc.</t>
  </si>
  <si>
    <t>Oxford Health Plans (CT), Inc.</t>
  </si>
  <si>
    <t>Oxford Health Plans (NJ), Inc.</t>
  </si>
  <si>
    <t>Oxford Health Plans (NY), Inc.</t>
  </si>
  <si>
    <t>Unimerica Life Insurance Company of New York</t>
  </si>
  <si>
    <t>UnitedHealthcare Benefits Plan of CA</t>
  </si>
  <si>
    <t>UnitedHealthcare Community Plan, Inc.</t>
  </si>
  <si>
    <t>UnitedHealthcare Freedom Insurance Company</t>
  </si>
  <si>
    <t>UnitedHealthcare Insurance Company</t>
  </si>
  <si>
    <t>UnitedHealthcare Insurance Company of Illinois</t>
  </si>
  <si>
    <t>UnitedHealthcare Insurance Company of New York</t>
  </si>
  <si>
    <t>UnitedHealthcare Insurance Company of the River Valley</t>
  </si>
  <si>
    <t>UnitedHealthcare Life Insurance Company</t>
  </si>
  <si>
    <t>UnitedHealthcare Plan of the River Valley, Inc.</t>
  </si>
  <si>
    <t>United HealthCare Services, Inc.</t>
  </si>
  <si>
    <t>United Healthcare Service LLC</t>
  </si>
  <si>
    <t>UnitedHealthcare of Alabama, Inc.</t>
  </si>
  <si>
    <t>UnitedHealthcare of Arizona, Inc.</t>
  </si>
  <si>
    <t>UnitedHealthcare of Arkansas, Inc.</t>
  </si>
  <si>
    <t>UnitedHealthcare of California, Inc.</t>
  </si>
  <si>
    <t>UnitedHealthcare of Colorado, Inc.</t>
  </si>
  <si>
    <t>UnitedHealthcare of Florida, Inc.</t>
  </si>
  <si>
    <t>UnitedHealthcare of Georgia, Inc.</t>
  </si>
  <si>
    <t>UnitedHealthcare of Illinois, Inc.</t>
  </si>
  <si>
    <t>UnitedHealthcare of Kentucky, Ltd.</t>
  </si>
  <si>
    <t>UnitedHealthcare of Louisiana, Inc.</t>
  </si>
  <si>
    <t>UnitedHealthcare of Mississippi, Inc.</t>
  </si>
  <si>
    <t>UnitedHealthcare of New England, Inc.</t>
  </si>
  <si>
    <t>UnitedHealthcare of New Mexico, Inc.</t>
  </si>
  <si>
    <t>UnitedHealthcare of North Carolina, Inc.</t>
  </si>
  <si>
    <t>UnitedHealthcare of Ohio, Inc.</t>
  </si>
  <si>
    <t>UnitedHealthcare of Oklahoma, Inc.</t>
  </si>
  <si>
    <t>UnitedHealthcare of Oregon, Inc.</t>
  </si>
  <si>
    <t>UnitedHealthcare of Pennsylvania, Inc.</t>
  </si>
  <si>
    <t>UnitedHealthcare of South Carolina, Inc.</t>
  </si>
  <si>
    <t>UnitedHealthcare of Texas, Inc.</t>
  </si>
  <si>
    <t>UnitedHealthcare of the Mid-Atlantic, Inc.</t>
  </si>
  <si>
    <t>UnitedHealthcare of the Midlands, Inc.</t>
  </si>
  <si>
    <t>UnitedHealthcare of the Midwest, Inc.</t>
  </si>
  <si>
    <t>UnitedHealthcare of Utah, Inc.</t>
  </si>
  <si>
    <t>UnitedHealthcare of Washington, Inc.</t>
  </si>
  <si>
    <t>UnitedHealthcare of Wisconsin, Inc.</t>
  </si>
  <si>
    <t>UMR</t>
  </si>
  <si>
    <t>UnitedHealthcare Services Inc.</t>
  </si>
  <si>
    <t>UnitedHealthcare Services Limited Liability Company (LLC)</t>
  </si>
  <si>
    <t>Calendar Year</t>
  </si>
  <si>
    <t>Policy Year</t>
  </si>
  <si>
    <t>SignatureValue</t>
  </si>
  <si>
    <t>UHC Freedom</t>
  </si>
  <si>
    <t>Charter</t>
  </si>
  <si>
    <t>Choice</t>
  </si>
  <si>
    <t>Compass</t>
  </si>
  <si>
    <t>Core</t>
  </si>
  <si>
    <t>Doctors Plan</t>
  </si>
  <si>
    <t>Granite Advantage EPO</t>
  </si>
  <si>
    <t>Granite Advantage PPO</t>
  </si>
  <si>
    <t>Individual Exchange</t>
  </si>
  <si>
    <t>METRO</t>
  </si>
  <si>
    <t>NHP EPO</t>
  </si>
  <si>
    <t>Navigate</t>
  </si>
  <si>
    <t>NexusACO OA</t>
  </si>
  <si>
    <t>OCI</t>
  </si>
  <si>
    <t>NonDiff PPO</t>
  </si>
  <si>
    <t>Options PPO</t>
  </si>
  <si>
    <t>Line Of business</t>
  </si>
  <si>
    <t>Key Accounts</t>
  </si>
  <si>
    <t>National Accounts</t>
  </si>
  <si>
    <t>PPO Foreign Resident</t>
  </si>
  <si>
    <t>Expanded Small</t>
  </si>
  <si>
    <t>Public Sector</t>
  </si>
  <si>
    <t>Small Business</t>
  </si>
  <si>
    <t>Grandfathered Expanded Small</t>
  </si>
  <si>
    <t>Grandfathered Key Accounts</t>
  </si>
  <si>
    <t>AccelQFI202602561802745</t>
  </si>
  <si>
    <t>AccelQFI202602581602595</t>
  </si>
  <si>
    <t>SignatureValue Advantage</t>
  </si>
  <si>
    <t>SignatureValue Alliance</t>
  </si>
  <si>
    <t>SignatureValue Harmony</t>
  </si>
  <si>
    <t>UHC Freedom Gated</t>
  </si>
  <si>
    <t>UHC Freedom Plus</t>
  </si>
  <si>
    <t>Charter Balanced</t>
  </si>
  <si>
    <t>Charter Plus</t>
  </si>
  <si>
    <t>Choice Plus</t>
  </si>
  <si>
    <t>Core Essential</t>
  </si>
  <si>
    <t>Doctors Plan Plus</t>
  </si>
  <si>
    <t>Granite Advantage EPO Saver</t>
  </si>
  <si>
    <t>Granite Advantage PPO Saver</t>
  </si>
  <si>
    <t>HMO - Metro</t>
  </si>
  <si>
    <t>Primary Advantage - Metro</t>
  </si>
  <si>
    <t>Value Option - Metro</t>
  </si>
  <si>
    <t>Ease - Metro</t>
  </si>
  <si>
    <t>Healthy NY - Metro</t>
  </si>
  <si>
    <t>Core w/ OOA - Metro</t>
  </si>
  <si>
    <t>NHP HMO</t>
  </si>
  <si>
    <t>NHP HMO Gated</t>
  </si>
  <si>
    <t>NHP POS</t>
  </si>
  <si>
    <t>NHP POS Gated</t>
  </si>
  <si>
    <t>Navigate Balanced</t>
  </si>
  <si>
    <t>Navigate Plus</t>
  </si>
  <si>
    <t>NexusACO OAP</t>
  </si>
  <si>
    <t>NexusACO R</t>
  </si>
  <si>
    <t>NexusACO RB</t>
  </si>
  <si>
    <t>NexusACO RP</t>
  </si>
  <si>
    <t>OCI Preferred</t>
  </si>
  <si>
    <t>AccelQWpFI202602581702574</t>
  </si>
  <si>
    <t>Customer Number(s): USP - 5483680</t>
  </si>
  <si>
    <t>AccelQFI202603611703311</t>
  </si>
  <si>
    <t>Customer Number(s): USP - 5489488</t>
  </si>
  <si>
    <t>AccelQVFI202603621203904</t>
  </si>
  <si>
    <t>Customer Number(s): USP - 5489594</t>
  </si>
  <si>
    <t>AccelQFI202603621503747</t>
  </si>
  <si>
    <t>AccelQqZFI202603621703408</t>
  </si>
  <si>
    <t>Customer Number(s): USP - 5490715</t>
  </si>
  <si>
    <t>AccelQFI202603671703687</t>
  </si>
  <si>
    <t>AccelQyFI202603671803641</t>
  </si>
  <si>
    <t>Customer Number(s): USP - 5502950</t>
  </si>
  <si>
    <t>AccelQSFI202603671803776</t>
  </si>
  <si>
    <t>Customer Number(s): USP - 5502951</t>
  </si>
  <si>
    <t>AccelQFI202603671803912</t>
  </si>
  <si>
    <t>Customer Number(s): USP - 5502952</t>
  </si>
  <si>
    <t>AccelQzFI20260367180313</t>
  </si>
  <si>
    <t>Customer Number(s): USP - 5502955</t>
  </si>
  <si>
    <t>Success</t>
  </si>
  <si>
    <t>AccelQcxFI202603671903879</t>
  </si>
  <si>
    <t>AccelQEFI202603672203999</t>
  </si>
  <si>
    <t>Customer Number(s): USP - 5502959</t>
  </si>
  <si>
    <t/>
  </si>
  <si>
    <t>Customer Number(s): USP - 5508852</t>
  </si>
  <si>
    <t>IL</t>
  </si>
  <si>
    <t>DBS_BDS3_458657</t>
  </si>
  <si>
    <t>Customer Number(s): USP - 5510063</t>
  </si>
  <si>
    <t>Customer Number(s): USP - 5511819</t>
  </si>
  <si>
    <t>AccelQtrFI202603711303203</t>
  </si>
  <si>
    <t>Customer Number(s): USP - 5512752</t>
  </si>
  <si>
    <t>5512752</t>
  </si>
  <si>
    <t>Cirrus MG ID</t>
  </si>
  <si>
    <t>Member Group Name</t>
  </si>
  <si>
    <t xml:space="preserve">Effective Date </t>
  </si>
  <si>
    <t>sjkdkskdd</t>
  </si>
  <si>
    <t>04-01-2026</t>
  </si>
  <si>
    <t>Group Status</t>
  </si>
  <si>
    <t>Active</t>
  </si>
  <si>
    <t>Situs State</t>
  </si>
  <si>
    <t>Line Of Business</t>
  </si>
  <si>
    <t>4
                Key Account</t>
  </si>
  <si>
    <t>Medical Plan ID</t>
  </si>
  <si>
    <t>SellingCarrierID</t>
  </si>
  <si>
    <t>37
                UnitedHealthcare Insurance Company of Illinois</t>
  </si>
  <si>
    <t>BookOfBusiness</t>
  </si>
  <si>
    <t>NetworkSheduleID</t>
  </si>
  <si>
    <t>CORE_1</t>
  </si>
  <si>
    <t>2023</t>
  </si>
  <si>
    <t>DentalBenefitBundleOptionID</t>
  </si>
  <si>
    <t>10252714
                0H567</t>
  </si>
  <si>
    <t>VisionBenefitBundleOptionID</t>
  </si>
  <si>
    <t>10252826
                S1002</t>
  </si>
  <si>
    <t>AccelQOFI202603711603297</t>
  </si>
  <si>
    <t>5513231</t>
  </si>
  <si>
    <t>Customer Number(s): USP - 5513231</t>
  </si>
  <si>
    <t>IL 
                ILLINOIS</t>
  </si>
  <si>
    <t>1085252924
                UH-MNS0300008-RX03000637-CORE_1-1085252924</t>
  </si>
  <si>
    <t>AccelQFI202603711603953</t>
  </si>
  <si>
    <t>5513251</t>
  </si>
  <si>
    <t>Customer Number(s): USP - 5513251</t>
  </si>
  <si>
    <t>AccelQGFI202603711703397</t>
  </si>
  <si>
    <t>5513275</t>
  </si>
  <si>
    <t>Customer Number(s): USP - 5513275</t>
  </si>
  <si>
    <t>37 
                UnitedHealthcare Insurance Company of Illinois</t>
  </si>
  <si>
    <t>1085252924 
                UH-MNS0300008-RX03000637-CORE_1-1085252924</t>
  </si>
  <si>
    <t>10252826 
                S1002</t>
  </si>
  <si>
    <t>AccelQoYFI202603712003785</t>
  </si>
  <si>
    <t>5513384</t>
  </si>
  <si>
    <t>AccelQFI202603711603923</t>
  </si>
  <si>
    <t>AccelQFI202603711603934</t>
  </si>
  <si>
    <t>AccelQFI202603712103589</t>
  </si>
  <si>
    <t>5513390</t>
  </si>
  <si>
    <t>AccelQYUFI202603712103901</t>
  </si>
  <si>
    <t>5513404</t>
  </si>
  <si>
    <t>AccelQFI202603712203905</t>
  </si>
  <si>
    <t>5513413</t>
  </si>
  <si>
    <t>AZ</t>
  </si>
  <si>
    <t>ESFB</t>
  </si>
  <si>
    <t>PHOENIX</t>
  </si>
  <si>
    <t>Maricopa</t>
  </si>
  <si>
    <t>AccelQQpFI202603751303935</t>
  </si>
  <si>
    <t>5520191</t>
  </si>
  <si>
    <t>07-01-2026</t>
  </si>
  <si>
    <t>AZ 
                ARIZONA</t>
  </si>
  <si>
    <t>36 
                UnitedHealthcare Insurance Company</t>
  </si>
  <si>
    <t>DOCTORS_PLAN_PLUS_5</t>
  </si>
  <si>
    <t>2026</t>
  </si>
  <si>
    <t>1085323996 
                UH-M030103219-RX03000408-DOCTORS_PLAN_PLUS_5-1085323996</t>
  </si>
  <si>
    <t>AccelQISFI202603751403969</t>
  </si>
  <si>
    <t>5520350</t>
  </si>
  <si>
    <t>Building</t>
  </si>
  <si>
    <t>AccelQtxFI202603751403470</t>
  </si>
  <si>
    <t>5520403</t>
  </si>
  <si>
    <t>Customer Number(s): USP - 5520403</t>
  </si>
  <si>
    <t>ESDO</t>
  </si>
  <si>
    <t>G81X</t>
  </si>
  <si>
    <t>AccelQrFI202603751403229</t>
  </si>
  <si>
    <t>5520454</t>
  </si>
  <si>
    <t>Customer Number(s): USP - 5520454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</si>
</sst>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8392"/>
  <sheetViews>
    <sheetView tabSelected="1" workbookViewId="0">
      <selection activeCell="I5" sqref="I5"/>
    </sheetView>
  </sheetViews>
  <sheetFormatPr defaultRowHeight="14.5" x14ac:dyDescent="0.35"/>
  <cols>
    <col min="1" max="1" bestFit="true" customWidth="true" width="49.36328125"/>
    <col min="3" max="3" bestFit="true" customWidth="true" width="14.7265625"/>
    <col min="4" max="4" bestFit="true" customWidth="true" width="5.81640625"/>
    <col min="5" max="5" bestFit="true" customWidth="true" width="10.453125"/>
    <col min="9" max="9" bestFit="true" customWidth="true" width="22.26953125"/>
    <col min="10" max="10" bestFit="true" customWidth="true" width="32.81640625"/>
    <col min="11" max="11" bestFit="true" customWidth="true" width="11.7265625"/>
  </cols>
  <sheetData>
    <row r="1" spans="1:11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2</v>
      </c>
      <c r="I1" s="1" t="s">
        <v>1</v>
      </c>
      <c r="J1" s="1" t="s">
        <v>43</v>
      </c>
      <c r="K1" s="1" t="s">
        <v>117</v>
      </c>
    </row>
    <row r="2" spans="1:11" x14ac:dyDescent="0.35">
      <c r="A2" s="2">
        <f>DATE(2026,1,7)</f>
        <v>46029</v>
      </c>
      <c r="B2" t="s" s="0">
        <v>233</v>
      </c>
      <c r="C2" t="s" s="0">
        <v>235</v>
      </c>
      <c r="D2" s="0">
        <v>85005</v>
      </c>
      <c r="E2" t="s" s="0">
        <v>236</v>
      </c>
      <c r="F2" t="s" s="0">
        <v>251</v>
      </c>
      <c r="G2" t="s" s="0">
        <v>252</v>
      </c>
      <c r="H2" s="0">
        <v>2026</v>
      </c>
      <c r="I2" t="s" s="0">
        <v>135</v>
      </c>
      <c r="J2" t="s" s="0">
        <v>61</v>
      </c>
      <c r="K2" t="s" s="0">
        <v>118</v>
      </c>
    </row>
    <row r="1048268" spans="1:1" x14ac:dyDescent="0.35">
      <c r="A1048268" t="s" s="0">
        <v>47</v>
      </c>
    </row>
    <row r="1048269" spans="1:1" x14ac:dyDescent="0.35">
      <c r="A1048269" t="s" s="0">
        <v>48</v>
      </c>
    </row>
    <row r="1048270" spans="1:1" x14ac:dyDescent="0.35">
      <c r="A1048270" t="s" s="0">
        <v>49</v>
      </c>
    </row>
    <row r="1048271" spans="1:1" x14ac:dyDescent="0.35">
      <c r="A1048271" t="s" s="0">
        <v>50</v>
      </c>
    </row>
    <row r="1048272" spans="1:1" x14ac:dyDescent="0.35">
      <c r="A1048272" t="s" s="0">
        <v>51</v>
      </c>
    </row>
    <row r="1048273" spans="1:1" x14ac:dyDescent="0.35">
      <c r="A1048273" t="s" s="0">
        <v>44</v>
      </c>
    </row>
    <row r="1048274" spans="1:1" x14ac:dyDescent="0.35">
      <c r="A1048274" t="s" s="0">
        <v>52</v>
      </c>
    </row>
    <row r="1048275" spans="1:1" x14ac:dyDescent="0.35">
      <c r="A1048275" t="s" s="0">
        <v>53</v>
      </c>
    </row>
    <row r="1048276" spans="1:1" x14ac:dyDescent="0.35">
      <c r="A1048276" t="s" s="0">
        <v>54</v>
      </c>
    </row>
    <row r="1048277" spans="1:1" x14ac:dyDescent="0.35">
      <c r="A1048277" t="s" s="0">
        <v>46</v>
      </c>
    </row>
    <row r="1048278" spans="1:1" x14ac:dyDescent="0.35">
      <c r="A1048278" t="s" s="0">
        <v>55</v>
      </c>
    </row>
    <row r="1048279" spans="1:1" x14ac:dyDescent="0.35">
      <c r="A1048279" t="s" s="0">
        <v>56</v>
      </c>
    </row>
    <row r="1048280" spans="1:1" x14ac:dyDescent="0.35">
      <c r="A1048280" t="s" s="0">
        <v>57</v>
      </c>
    </row>
    <row r="1048281" spans="1:1" x14ac:dyDescent="0.35">
      <c r="A1048281" t="s" s="0">
        <v>58</v>
      </c>
    </row>
    <row r="1048282" spans="1:1" x14ac:dyDescent="0.35">
      <c r="A1048282" t="s" s="0">
        <v>59</v>
      </c>
    </row>
    <row r="1048283" spans="1:1" x14ac:dyDescent="0.35">
      <c r="A1048283" t="s" s="0">
        <v>60</v>
      </c>
    </row>
    <row r="1048284" spans="1:1" x14ac:dyDescent="0.35">
      <c r="A1048284" t="s" s="0">
        <v>61</v>
      </c>
    </row>
    <row r="1048285" spans="1:1" x14ac:dyDescent="0.35">
      <c r="A1048285" t="s" s="0">
        <v>62</v>
      </c>
    </row>
    <row r="1048286" spans="1:1" x14ac:dyDescent="0.35">
      <c r="A1048286" t="s" s="0">
        <v>63</v>
      </c>
    </row>
    <row r="1048287" spans="1:1" x14ac:dyDescent="0.35">
      <c r="A1048287" t="s" s="0">
        <v>64</v>
      </c>
    </row>
    <row r="1048288" spans="1:1" x14ac:dyDescent="0.35">
      <c r="A1048288" t="s" s="0">
        <v>65</v>
      </c>
    </row>
    <row r="1048289" spans="1:1" x14ac:dyDescent="0.35">
      <c r="A1048289" t="s" s="0">
        <v>66</v>
      </c>
    </row>
    <row r="1048290" spans="1:1" x14ac:dyDescent="0.35">
      <c r="A1048290" t="s" s="0">
        <v>67</v>
      </c>
    </row>
    <row r="1048291" spans="1:1" x14ac:dyDescent="0.35">
      <c r="A1048291" t="s" s="0">
        <v>68</v>
      </c>
    </row>
    <row r="1048292" spans="1:1" x14ac:dyDescent="0.35">
      <c r="A1048292" t="s" s="0">
        <v>69</v>
      </c>
    </row>
    <row r="1048293" spans="1:1" x14ac:dyDescent="0.35">
      <c r="A1048293" t="s" s="0">
        <v>70</v>
      </c>
    </row>
    <row r="1048294" spans="1:1" x14ac:dyDescent="0.35">
      <c r="A1048294" t="s" s="0">
        <v>71</v>
      </c>
    </row>
    <row r="1048295" spans="1:1" x14ac:dyDescent="0.35">
      <c r="A1048295" t="s" s="0">
        <v>72</v>
      </c>
    </row>
    <row r="1048296" spans="1:1" x14ac:dyDescent="0.35">
      <c r="A1048296" t="s" s="0">
        <v>73</v>
      </c>
    </row>
    <row r="1048297" spans="1:1" x14ac:dyDescent="0.35">
      <c r="A1048297" t="s" s="0">
        <v>74</v>
      </c>
    </row>
    <row r="1048298" spans="1:1" x14ac:dyDescent="0.35">
      <c r="A1048298" t="s" s="0">
        <v>75</v>
      </c>
    </row>
    <row r="1048299" spans="1:1" x14ac:dyDescent="0.35">
      <c r="A1048299" t="s" s="0">
        <v>76</v>
      </c>
    </row>
    <row r="1048300" spans="1:1" x14ac:dyDescent="0.35">
      <c r="A1048300" t="s" s="0">
        <v>77</v>
      </c>
    </row>
    <row r="1048301" spans="1:1" x14ac:dyDescent="0.35">
      <c r="A1048301" t="s" s="0">
        <v>78</v>
      </c>
    </row>
    <row r="1048302" spans="1:1" x14ac:dyDescent="0.35">
      <c r="A1048302" t="s" s="0">
        <v>79</v>
      </c>
    </row>
    <row r="1048303" spans="1:1" x14ac:dyDescent="0.35">
      <c r="A1048303" t="s" s="0">
        <v>80</v>
      </c>
    </row>
    <row r="1048304" spans="1:1" x14ac:dyDescent="0.35">
      <c r="A1048304" t="s" s="0">
        <v>81</v>
      </c>
    </row>
    <row r="1048305" spans="1:1" x14ac:dyDescent="0.35">
      <c r="A1048305" t="s" s="0">
        <v>82</v>
      </c>
    </row>
    <row r="1048306" spans="1:1" x14ac:dyDescent="0.35">
      <c r="A1048306" t="s" s="0">
        <v>83</v>
      </c>
    </row>
    <row r="1048307" spans="1:1" x14ac:dyDescent="0.35">
      <c r="A1048307" t="s" s="0">
        <v>84</v>
      </c>
    </row>
    <row r="1048308" spans="1:1" x14ac:dyDescent="0.35">
      <c r="A1048308" t="s" s="0">
        <v>85</v>
      </c>
    </row>
    <row r="1048309" spans="1:1" x14ac:dyDescent="0.35">
      <c r="A1048309" t="s" s="0">
        <v>86</v>
      </c>
    </row>
    <row r="1048310" spans="1:1" x14ac:dyDescent="0.35">
      <c r="A1048310" t="s" s="0">
        <v>87</v>
      </c>
    </row>
    <row r="1048311" spans="1:1" x14ac:dyDescent="0.35">
      <c r="A1048311" t="s" s="0">
        <v>88</v>
      </c>
    </row>
    <row r="1048312" spans="1:1" x14ac:dyDescent="0.35">
      <c r="A1048312" t="s" s="0">
        <v>89</v>
      </c>
    </row>
    <row r="1048313" spans="1:1" x14ac:dyDescent="0.35">
      <c r="A1048313" t="s" s="0">
        <v>90</v>
      </c>
    </row>
    <row r="1048314" spans="1:1" x14ac:dyDescent="0.35">
      <c r="A1048314" t="s" s="0">
        <v>91</v>
      </c>
    </row>
    <row r="1048315" spans="1:1" x14ac:dyDescent="0.35">
      <c r="A1048315" t="s" s="0">
        <v>92</v>
      </c>
    </row>
    <row r="1048316" spans="1:1" x14ac:dyDescent="0.35">
      <c r="A1048316" t="s" s="0">
        <v>93</v>
      </c>
    </row>
    <row r="1048317" spans="1:1" x14ac:dyDescent="0.35">
      <c r="A1048317" t="s" s="0">
        <v>94</v>
      </c>
    </row>
    <row r="1048318" spans="1:1" x14ac:dyDescent="0.35">
      <c r="A1048318" t="s" s="0">
        <v>95</v>
      </c>
    </row>
    <row r="1048319" spans="1:1" x14ac:dyDescent="0.35">
      <c r="A1048319" t="s" s="0">
        <v>45</v>
      </c>
    </row>
    <row r="1048320" spans="1:1" x14ac:dyDescent="0.35">
      <c r="A1048320" t="s" s="0">
        <v>61</v>
      </c>
    </row>
    <row r="1048321" spans="1:1" x14ac:dyDescent="0.35">
      <c r="A1048321" t="s" s="0">
        <v>96</v>
      </c>
    </row>
    <row r="1048322" spans="1:1" x14ac:dyDescent="0.35">
      <c r="A1048322" t="s" s="0">
        <v>97</v>
      </c>
    </row>
    <row r="1048323" spans="1:1" x14ac:dyDescent="0.35">
      <c r="A1048323" t="s" s="0">
        <v>50</v>
      </c>
    </row>
    <row r="1048324" spans="1:1" x14ac:dyDescent="0.35">
      <c r="A1048324" t="s" s="0">
        <v>98</v>
      </c>
    </row>
    <row r="1048325" spans="1:1" x14ac:dyDescent="0.35">
      <c r="A1048325" t="s" s="0">
        <v>99</v>
      </c>
    </row>
    <row r="1048335" spans="1:1" x14ac:dyDescent="0.35">
      <c r="A1048335" t="s" s="0">
        <v>100</v>
      </c>
    </row>
    <row r="1048336" spans="1:1" x14ac:dyDescent="0.35">
      <c r="A1048336" t="s" s="0">
        <v>128</v>
      </c>
    </row>
    <row r="1048337" spans="1:1" x14ac:dyDescent="0.35">
      <c r="A1048337" t="s" s="0">
        <v>129</v>
      </c>
    </row>
    <row r="1048338" spans="1:1" x14ac:dyDescent="0.35">
      <c r="A1048338" t="s" s="0">
        <v>130</v>
      </c>
    </row>
    <row r="1048339" spans="1:1" x14ac:dyDescent="0.35">
      <c r="A1048339" t="s" s="0">
        <v>101</v>
      </c>
    </row>
    <row r="1048340" spans="1:1" x14ac:dyDescent="0.35">
      <c r="A1048340" t="s" s="0">
        <v>101</v>
      </c>
    </row>
    <row r="1048341" spans="1:1" x14ac:dyDescent="0.35">
      <c r="A1048341" t="s" s="0">
        <v>131</v>
      </c>
    </row>
    <row r="1048342" spans="1:1" x14ac:dyDescent="0.35">
      <c r="A1048342" t="s" s="0">
        <v>132</v>
      </c>
    </row>
    <row r="1048343" spans="1:1" x14ac:dyDescent="0.35">
      <c r="A1048343" t="s" s="0">
        <v>102</v>
      </c>
    </row>
    <row r="1048344" spans="1:1" x14ac:dyDescent="0.35">
      <c r="A1048344" t="s" s="0">
        <v>133</v>
      </c>
    </row>
    <row r="1048345" spans="1:1" x14ac:dyDescent="0.35">
      <c r="A1048345" t="s" s="0">
        <v>134</v>
      </c>
    </row>
    <row r="1048346" spans="1:1" x14ac:dyDescent="0.35">
      <c r="A1048346" t="s" s="0">
        <v>103</v>
      </c>
    </row>
    <row r="1048347" spans="1:1" x14ac:dyDescent="0.35">
      <c r="A1048347" t="s" s="0">
        <v>135</v>
      </c>
    </row>
    <row r="1048348" spans="1:1" x14ac:dyDescent="0.35">
      <c r="A1048348" t="s" s="0">
        <v>104</v>
      </c>
    </row>
    <row r="1048349" spans="1:1" x14ac:dyDescent="0.35">
      <c r="A1048349" t="s" s="0">
        <v>105</v>
      </c>
    </row>
    <row r="1048350" spans="1:1" x14ac:dyDescent="0.35">
      <c r="A1048350" t="s" s="0">
        <v>136</v>
      </c>
    </row>
    <row r="1048351" spans="1:1" x14ac:dyDescent="0.35">
      <c r="A1048351" t="s" s="0">
        <v>106</v>
      </c>
    </row>
    <row r="1048352" spans="1:1" x14ac:dyDescent="0.35">
      <c r="A1048352" t="s" s="0">
        <v>137</v>
      </c>
    </row>
    <row r="1048353" spans="1:1" x14ac:dyDescent="0.35">
      <c r="A1048353" t="s" s="0">
        <v>107</v>
      </c>
    </row>
    <row r="1048354" spans="1:1" x14ac:dyDescent="0.35">
      <c r="A1048354" t="s" s="0">
        <v>138</v>
      </c>
    </row>
    <row r="1048355" spans="1:1" x14ac:dyDescent="0.35">
      <c r="A1048355" t="s" s="0">
        <v>108</v>
      </c>
    </row>
    <row r="1048356" spans="1:1" x14ac:dyDescent="0.35">
      <c r="A1048356" t="s" s="0">
        <v>139</v>
      </c>
    </row>
    <row r="1048357" spans="1:1" x14ac:dyDescent="0.35">
      <c r="A1048357" t="s" s="0">
        <v>109</v>
      </c>
    </row>
    <row r="1048358" spans="1:1" x14ac:dyDescent="0.35">
      <c r="A1048358" t="s" s="0">
        <v>110</v>
      </c>
    </row>
    <row r="1048359" spans="1:1" x14ac:dyDescent="0.35">
      <c r="A1048359" t="s" s="0">
        <v>140</v>
      </c>
    </row>
    <row r="1048360" spans="1:1" x14ac:dyDescent="0.35">
      <c r="A1048360" t="s" s="0">
        <v>141</v>
      </c>
    </row>
    <row r="1048361" spans="1:1" x14ac:dyDescent="0.35">
      <c r="A1048361" t="s" s="0">
        <v>142</v>
      </c>
    </row>
    <row r="1048362" spans="1:1" x14ac:dyDescent="0.35">
      <c r="A1048362" t="s" s="0">
        <v>143</v>
      </c>
    </row>
    <row r="1048363" spans="1:1" x14ac:dyDescent="0.35">
      <c r="A1048363" t="s" s="0">
        <v>144</v>
      </c>
    </row>
    <row r="1048364" spans="1:1" x14ac:dyDescent="0.35">
      <c r="A1048364" t="s" s="0">
        <v>145</v>
      </c>
    </row>
    <row r="1048365" spans="1:1" x14ac:dyDescent="0.35">
      <c r="A1048365" t="s" s="0">
        <v>111</v>
      </c>
    </row>
    <row r="1048366" spans="1:1" x14ac:dyDescent="0.35">
      <c r="A1048366" t="s" s="0">
        <v>146</v>
      </c>
    </row>
    <row r="1048367" spans="1:1" x14ac:dyDescent="0.35">
      <c r="A1048367" t="s" s="0">
        <v>147</v>
      </c>
    </row>
    <row r="1048368" spans="1:1" x14ac:dyDescent="0.35">
      <c r="A1048368" t="s" s="0">
        <v>148</v>
      </c>
    </row>
    <row r="1048369" spans="1:1" x14ac:dyDescent="0.35">
      <c r="A1048369" t="s" s="0">
        <v>149</v>
      </c>
    </row>
    <row r="1048370" spans="1:1" x14ac:dyDescent="0.35">
      <c r="A1048370" t="s" s="0">
        <v>112</v>
      </c>
    </row>
    <row r="1048371" spans="1:1" x14ac:dyDescent="0.35">
      <c r="A1048371" t="s" s="0">
        <v>150</v>
      </c>
    </row>
    <row r="1048372" spans="1:1" x14ac:dyDescent="0.35">
      <c r="A1048372" t="s" s="0">
        <v>151</v>
      </c>
    </row>
    <row r="1048373" spans="1:1" x14ac:dyDescent="0.35">
      <c r="A1048373" t="s" s="0">
        <v>113</v>
      </c>
    </row>
    <row r="1048374" spans="1:1" x14ac:dyDescent="0.35">
      <c r="A1048374" t="s" s="0">
        <v>152</v>
      </c>
    </row>
    <row r="1048375" spans="1:1" x14ac:dyDescent="0.35">
      <c r="A1048375" t="s" s="0">
        <v>153</v>
      </c>
    </row>
    <row r="1048376" spans="1:1" x14ac:dyDescent="0.35">
      <c r="A1048376" t="s" s="0">
        <v>154</v>
      </c>
    </row>
    <row r="1048377" spans="1:1" x14ac:dyDescent="0.35">
      <c r="A1048377" t="s" s="0">
        <v>155</v>
      </c>
    </row>
    <row r="1048378" spans="1:1" x14ac:dyDescent="0.35">
      <c r="A1048378" t="s" s="0">
        <v>114</v>
      </c>
    </row>
    <row r="1048379" spans="1:1" x14ac:dyDescent="0.35">
      <c r="A1048379" t="s" s="0">
        <v>156</v>
      </c>
    </row>
    <row r="1048380" spans="1:1" x14ac:dyDescent="0.35">
      <c r="A1048380" t="s" s="0">
        <v>115</v>
      </c>
    </row>
    <row r="1048381" spans="1:1" x14ac:dyDescent="0.35">
      <c r="A1048381" t="s" s="0">
        <v>116</v>
      </c>
    </row>
    <row r="1048385" spans="1:1" x14ac:dyDescent="0.35">
      <c r="A1048385" t="s" s="0">
        <v>118</v>
      </c>
    </row>
    <row r="1048386" spans="1:1" x14ac:dyDescent="0.35">
      <c r="A1048386" t="s" s="0">
        <v>119</v>
      </c>
    </row>
    <row r="1048387" spans="1:1" x14ac:dyDescent="0.35">
      <c r="A1048387" t="s" s="0">
        <v>120</v>
      </c>
    </row>
    <row r="1048388" spans="1:1" x14ac:dyDescent="0.35">
      <c r="A1048388" t="s" s="0">
        <v>121</v>
      </c>
    </row>
    <row r="1048389" spans="1:1" x14ac:dyDescent="0.35">
      <c r="A1048389" t="s" s="0">
        <v>122</v>
      </c>
    </row>
    <row r="1048390" spans="1:1" x14ac:dyDescent="0.35">
      <c r="A1048390" t="s" s="0">
        <v>123</v>
      </c>
    </row>
    <row r="1048391" spans="1:1" x14ac:dyDescent="0.35">
      <c r="A1048391" t="s" s="0">
        <v>124</v>
      </c>
    </row>
    <row r="1048392" spans="1:1" x14ac:dyDescent="0.35">
      <c r="A1048392" t="s" s="0">
        <v>125</v>
      </c>
    </row>
  </sheetData>
  <dataValidations count="3">
    <dataValidation type="list" allowBlank="1" showInputMessage="1" showErrorMessage="1" sqref="I2" xr:uid="{7538D333-85A2-40D9-8438-624135E5EA79}">
      <formula1>$A$1048335:$A$1048381</formula1>
    </dataValidation>
    <dataValidation type="list" allowBlank="1" showInputMessage="1" showErrorMessage="1" sqref="J2" xr:uid="{59C8350F-62DF-4272-854F-206C7762C82E}">
      <formula1>$A$1048268:$A$1048324</formula1>
    </dataValidation>
    <dataValidation type="list" allowBlank="1" showInputMessage="1" showErrorMessage="1" sqref="K2" xr:uid="{BFD0FE31-A697-4C8F-A8B3-C9E1BBF9C3BD}">
      <formula1>$A$1048385:$A$1048392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3201-563F-4E5D-BCD1-99B165588CCE}">
  <dimension ref="A1:D53"/>
  <sheetViews>
    <sheetView topLeftCell="A44" workbookViewId="0">
      <selection activeCell="C53" sqref="C53"/>
    </sheetView>
  </sheetViews>
  <sheetFormatPr defaultRowHeight="14.5" x14ac:dyDescent="0.35"/>
  <cols>
    <col min="1" max="1" bestFit="true" customWidth="true" width="25.36328125"/>
    <col min="2" max="3" bestFit="true" customWidth="true" width="31.453125"/>
  </cols>
  <sheetData>
    <row r="1" spans="1:4" x14ac:dyDescent="0.35">
      <c r="A1" t="s" s="0">
        <v>9</v>
      </c>
      <c r="C1" t="str" s="0">
        <f>RIGHT(B1,7)</f>
        <v/>
      </c>
      <c r="D1" t="s" s="0">
        <v>40</v>
      </c>
    </row>
    <row r="2" spans="1:4" x14ac:dyDescent="0.35">
      <c r="A2" t="s" s="0">
        <v>10</v>
      </c>
      <c r="B2" t="s" s="0">
        <v>12</v>
      </c>
      <c r="C2" t="str" s="0">
        <f t="shared" ref="C2:C41" si="0">RIGHT(B2,7)</f>
        <v>Error</v>
      </c>
    </row>
    <row r="3" spans="1:4" x14ac:dyDescent="0.35">
      <c r="A3" t="s" s="0">
        <v>11</v>
      </c>
      <c r="B3" t="s" s="0">
        <v>12</v>
      </c>
      <c r="C3" t="str" s="0">
        <f t="shared" si="0"/>
        <v>Error</v>
      </c>
    </row>
    <row r="4" spans="1:4" x14ac:dyDescent="0.35">
      <c r="A4" t="s" s="0">
        <v>13</v>
      </c>
      <c r="C4" t="str" s="0">
        <f t="shared" si="0"/>
        <v/>
      </c>
    </row>
    <row r="5" spans="1:4" x14ac:dyDescent="0.35">
      <c r="A5" t="s" s="0">
        <v>14</v>
      </c>
      <c r="C5" t="str" s="0">
        <f t="shared" si="0"/>
        <v/>
      </c>
    </row>
    <row r="6" spans="1:4" x14ac:dyDescent="0.35">
      <c r="A6" t="s" s="0">
        <v>15</v>
      </c>
      <c r="C6" t="str" s="0">
        <f t="shared" si="0"/>
        <v/>
      </c>
    </row>
    <row r="7" spans="1:4" x14ac:dyDescent="0.35">
      <c r="A7" t="s" s="0">
        <v>16</v>
      </c>
      <c r="C7" t="str" s="0">
        <f t="shared" si="0"/>
        <v/>
      </c>
    </row>
    <row r="8" spans="1:4" x14ac:dyDescent="0.35">
      <c r="A8" t="s" s="0">
        <v>17</v>
      </c>
      <c r="C8" t="str" s="0">
        <f t="shared" si="0"/>
        <v/>
      </c>
    </row>
    <row r="9" spans="1:4" x14ac:dyDescent="0.35">
      <c r="A9" t="s" s="0">
        <v>18</v>
      </c>
      <c r="B9" t="s" s="0">
        <v>19</v>
      </c>
      <c r="C9" t="str" s="0">
        <f t="shared" si="0"/>
        <v>5453207</v>
      </c>
    </row>
    <row r="10" spans="1:4" x14ac:dyDescent="0.35">
      <c r="A10" t="s" s="0">
        <v>20</v>
      </c>
      <c r="B10" t="s" s="0">
        <v>12</v>
      </c>
      <c r="C10" t="str" s="0">
        <f t="shared" si="0"/>
        <v>Error</v>
      </c>
    </row>
    <row r="11" spans="1:4" x14ac:dyDescent="0.35">
      <c r="B11" t="s" s="0">
        <v>21</v>
      </c>
      <c r="C11" t="str" s="0">
        <f t="shared" si="0"/>
        <v>5453208</v>
      </c>
    </row>
    <row r="12" spans="1:4" x14ac:dyDescent="0.35">
      <c r="A12" t="s" s="0">
        <v>22</v>
      </c>
      <c r="B12" t="s" s="0">
        <v>12</v>
      </c>
      <c r="C12" t="str" s="0">
        <f t="shared" si="0"/>
        <v>Error</v>
      </c>
    </row>
    <row r="13" spans="1:4" x14ac:dyDescent="0.35">
      <c r="A13" t="s" s="0">
        <v>23</v>
      </c>
      <c r="C13" t="str" s="0">
        <f t="shared" si="0"/>
        <v/>
      </c>
    </row>
    <row r="14" spans="1:4" x14ac:dyDescent="0.35">
      <c r="A14" t="s" s="0">
        <v>24</v>
      </c>
      <c r="B14" t="s" s="0">
        <v>25</v>
      </c>
      <c r="C14" t="str" s="0">
        <f t="shared" si="0"/>
        <v>5461120</v>
      </c>
    </row>
    <row r="15" spans="1:4" x14ac:dyDescent="0.35">
      <c r="A15" t="s" s="0">
        <v>26</v>
      </c>
      <c r="C15" t="str" s="0">
        <f t="shared" si="0"/>
        <v/>
      </c>
    </row>
    <row r="16" spans="1:4" x14ac:dyDescent="0.35">
      <c r="A16" t="s" s="0">
        <v>27</v>
      </c>
      <c r="C16" t="str" s="0">
        <f t="shared" si="0"/>
        <v/>
      </c>
    </row>
    <row r="17" spans="1:4" x14ac:dyDescent="0.35">
      <c r="A17" t="s" s="0">
        <v>28</v>
      </c>
      <c r="C17" t="str" s="0">
        <f t="shared" si="0"/>
        <v/>
      </c>
    </row>
    <row r="18" spans="1:4" x14ac:dyDescent="0.35">
      <c r="A18" t="s" s="0">
        <v>29</v>
      </c>
      <c r="C18" t="str" s="0">
        <f t="shared" si="0"/>
        <v/>
      </c>
    </row>
    <row r="19" spans="1:4" x14ac:dyDescent="0.35">
      <c r="A19" t="s" s="0">
        <v>30</v>
      </c>
      <c r="C19" t="str" s="0">
        <f t="shared" si="0"/>
        <v/>
      </c>
    </row>
    <row r="20" spans="1:4" x14ac:dyDescent="0.35">
      <c r="A20" t="s" s="0">
        <v>31</v>
      </c>
      <c r="C20" t="str" s="0">
        <f t="shared" si="0"/>
        <v/>
      </c>
    </row>
    <row r="21" spans="1:4" x14ac:dyDescent="0.35">
      <c r="A21" t="s" s="0">
        <v>32</v>
      </c>
      <c r="C21" t="str" s="0">
        <f t="shared" si="0"/>
        <v/>
      </c>
    </row>
    <row r="22" spans="1:4" x14ac:dyDescent="0.35">
      <c r="A22" t="s" s="0">
        <v>33</v>
      </c>
      <c r="C22" t="str" s="0">
        <f t="shared" si="0"/>
        <v/>
      </c>
    </row>
    <row r="23" spans="1:4" x14ac:dyDescent="0.35">
      <c r="A23" t="s" s="0">
        <v>34</v>
      </c>
      <c r="C23" t="str" s="0">
        <f t="shared" si="0"/>
        <v/>
      </c>
    </row>
    <row r="24" spans="1:4" x14ac:dyDescent="0.35">
      <c r="A24" t="s" s="0">
        <v>35</v>
      </c>
      <c r="C24" t="str" s="0">
        <f t="shared" si="0"/>
        <v/>
      </c>
    </row>
    <row r="25" spans="1:4" x14ac:dyDescent="0.35">
      <c r="A25" t="s" s="0">
        <v>36</v>
      </c>
      <c r="C25" t="str" s="0">
        <f t="shared" si="0"/>
        <v/>
      </c>
    </row>
    <row r="26" spans="1:4" x14ac:dyDescent="0.35">
      <c r="A26" t="s" s="0">
        <v>37</v>
      </c>
      <c r="B26" t="s" s="0">
        <v>38</v>
      </c>
      <c r="C26" t="str" s="0">
        <f t="shared" si="0"/>
        <v>5473051</v>
      </c>
      <c r="D26" t="s" s="0">
        <v>12</v>
      </c>
    </row>
    <row r="27" spans="1:4" x14ac:dyDescent="0.35">
      <c r="A27" t="s" s="0">
        <v>39</v>
      </c>
      <c r="B27" t="s" s="0">
        <v>41</v>
      </c>
      <c r="C27" t="str" s="0">
        <f t="shared" si="0"/>
        <v>5476983</v>
      </c>
      <c r="D27" t="s" s="0">
        <v>40</v>
      </c>
    </row>
    <row r="28" spans="1:4" x14ac:dyDescent="0.35">
      <c r="A28" t="s" s="0">
        <v>42</v>
      </c>
      <c r="C28" t="str" s="0">
        <f t="shared" si="0"/>
        <v/>
      </c>
    </row>
    <row r="29" spans="1:4" x14ac:dyDescent="0.35">
      <c r="A29" t="s" s="0">
        <v>126</v>
      </c>
      <c r="C29" t="str" s="0">
        <f t="shared" si="0"/>
        <v/>
      </c>
    </row>
    <row r="30" spans="1:4" x14ac:dyDescent="0.35">
      <c r="A30" t="s" s="0">
        <v>127</v>
      </c>
      <c r="C30" t="str" s="0">
        <f t="shared" si="0"/>
        <v/>
      </c>
    </row>
    <row r="31" spans="1:4" x14ac:dyDescent="0.35">
      <c r="A31" t="s" s="0">
        <v>157</v>
      </c>
      <c r="B31" t="s" s="0">
        <v>158</v>
      </c>
      <c r="C31" t="str" s="0">
        <f t="shared" si="0"/>
        <v>5483680</v>
      </c>
      <c r="D31" t="s" s="0">
        <v>40</v>
      </c>
    </row>
    <row r="32" spans="1:4" x14ac:dyDescent="0.35">
      <c r="A32" t="s" s="0">
        <v>159</v>
      </c>
      <c r="B32" t="s" s="0">
        <v>160</v>
      </c>
      <c r="C32" t="str" s="0">
        <f t="shared" si="0"/>
        <v>5489488</v>
      </c>
      <c r="D32" t="s" s="0">
        <v>40</v>
      </c>
    </row>
    <row r="33" spans="1:4" x14ac:dyDescent="0.35">
      <c r="A33" t="s" s="0">
        <v>161</v>
      </c>
      <c r="B33" t="s" s="0">
        <v>162</v>
      </c>
      <c r="C33" t="str" s="0">
        <f t="shared" si="0"/>
        <v>5489594</v>
      </c>
      <c r="D33" t="s" s="0">
        <v>40</v>
      </c>
    </row>
    <row r="34" spans="1:4" x14ac:dyDescent="0.35">
      <c r="A34" t="s" s="0">
        <v>163</v>
      </c>
      <c r="C34" t="str" s="0">
        <f t="shared" si="0"/>
        <v/>
      </c>
    </row>
    <row r="35" spans="1:4" x14ac:dyDescent="0.35">
      <c r="A35" t="s" s="0">
        <v>164</v>
      </c>
      <c r="B35" t="s" s="0">
        <v>165</v>
      </c>
      <c r="C35" t="str" s="0">
        <f t="shared" si="0"/>
        <v>5490715</v>
      </c>
      <c r="D35" t="s" s="0">
        <v>40</v>
      </c>
    </row>
    <row r="36" spans="1:4" x14ac:dyDescent="0.35">
      <c r="A36" t="s" s="0">
        <v>166</v>
      </c>
      <c r="C36" t="str" s="0">
        <f t="shared" si="0"/>
        <v/>
      </c>
    </row>
    <row r="37" spans="1:4" x14ac:dyDescent="0.35">
      <c r="A37" t="s" s="0">
        <v>167</v>
      </c>
      <c r="B37" t="s" s="0">
        <v>168</v>
      </c>
      <c r="C37" t="str" s="0">
        <f t="shared" si="0"/>
        <v>5502950</v>
      </c>
      <c r="D37" t="s" s="0">
        <v>40</v>
      </c>
    </row>
    <row r="38" spans="1:4" x14ac:dyDescent="0.35">
      <c r="A38" t="s" s="0">
        <v>169</v>
      </c>
      <c r="B38" t="s" s="0">
        <v>170</v>
      </c>
      <c r="C38" t="str" s="0">
        <f t="shared" si="0"/>
        <v>5502951</v>
      </c>
      <c r="D38" t="s" s="0">
        <v>40</v>
      </c>
    </row>
    <row r="39" spans="1:4" x14ac:dyDescent="0.35">
      <c r="A39" t="s" s="0">
        <v>171</v>
      </c>
      <c r="B39" t="s" s="0">
        <v>172</v>
      </c>
      <c r="C39" t="str" s="0">
        <f t="shared" si="0"/>
        <v>5502952</v>
      </c>
      <c r="D39" t="s" s="0">
        <v>40</v>
      </c>
    </row>
    <row r="40" spans="1:4" x14ac:dyDescent="0.35">
      <c r="A40" t="s" s="0">
        <v>173</v>
      </c>
      <c r="B40" t="s" s="0">
        <v>174</v>
      </c>
      <c r="C40" t="str" s="0">
        <f t="shared" si="0"/>
        <v>5502955</v>
      </c>
      <c r="D40" t="s" s="0">
        <v>175</v>
      </c>
    </row>
    <row r="41" spans="1:4" x14ac:dyDescent="0.35">
      <c r="A41" t="s" s="0">
        <v>176</v>
      </c>
      <c r="C41" t="str" s="0">
        <f t="shared" si="0"/>
        <v/>
      </c>
    </row>
    <row r="42" spans="1:4" x14ac:dyDescent="0.35">
      <c r="A42" t="s" s="0">
        <v>177</v>
      </c>
      <c r="B42" t="s" s="0">
        <v>178</v>
      </c>
      <c r="D42" t="s" s="0">
        <v>175</v>
      </c>
    </row>
    <row r="43" spans="1:4" x14ac:dyDescent="0.35">
      <c r="A43" t="s" s="0">
        <v>179</v>
      </c>
      <c r="B43" t="s" s="0">
        <v>180</v>
      </c>
      <c r="D43" t="s" s="0">
        <v>175</v>
      </c>
    </row>
    <row r="44" spans="1:4" x14ac:dyDescent="0.35">
      <c r="A44" t="s" s="0">
        <v>179</v>
      </c>
    </row>
    <row r="45" spans="1:4" x14ac:dyDescent="0.35">
      <c r="A45" t="s" s="0">
        <v>179</v>
      </c>
      <c r="B45" t="s" s="0">
        <v>183</v>
      </c>
      <c r="D45" t="s" s="0">
        <v>175</v>
      </c>
    </row>
    <row r="46" spans="1:4" x14ac:dyDescent="0.35">
      <c r="A46" t="s" s="0">
        <v>179</v>
      </c>
      <c r="B46" t="s" s="0">
        <v>184</v>
      </c>
      <c r="D46" t="s" s="0">
        <v>175</v>
      </c>
    </row>
    <row r="47" spans="1:4" x14ac:dyDescent="0.35">
      <c r="A47" t="s" s="0">
        <v>179</v>
      </c>
    </row>
    <row r="48" spans="1:4" x14ac:dyDescent="0.35">
      <c r="A48" t="s" s="0">
        <v>185</v>
      </c>
      <c r="B48" t="s" s="0">
        <v>186</v>
      </c>
      <c r="C48" s="3" t="s">
        <v>187</v>
      </c>
      <c r="D48" t="s" s="0">
        <v>175</v>
      </c>
    </row>
    <row r="49" spans="1:4" x14ac:dyDescent="0.35">
      <c r="A49" t="s" s="0">
        <v>209</v>
      </c>
      <c r="B49" t="s" s="0">
        <v>211</v>
      </c>
      <c r="C49" t="s" s="0">
        <v>210</v>
      </c>
      <c r="D49" t="s" s="0">
        <v>175</v>
      </c>
    </row>
    <row r="50" spans="1:4" x14ac:dyDescent="0.35">
      <c r="A50" t="s" s="0">
        <v>214</v>
      </c>
    </row>
    <row r="51" spans="1:4" x14ac:dyDescent="0.35">
      <c r="A51" t="s" s="0">
        <v>226</v>
      </c>
      <c r="B51" t="s" s="0">
        <v>216</v>
      </c>
      <c r="C51" t="s" s="0">
        <v>215</v>
      </c>
      <c r="D51" t="s" s="0">
        <v>175</v>
      </c>
    </row>
    <row r="52" spans="1:4" x14ac:dyDescent="0.35">
      <c r="A52" t="s" s="0">
        <v>225</v>
      </c>
      <c r="B52" t="s" s="0">
        <v>219</v>
      </c>
      <c r="C52" t="s" s="0">
        <v>218</v>
      </c>
      <c r="D52" t="s" s="0">
        <v>175</v>
      </c>
    </row>
    <row r="53" spans="1:4" x14ac:dyDescent="0.35">
      <c r="A53" t="s" s="0">
        <v>253</v>
      </c>
      <c r="B53" t="s" s="0">
        <v>255</v>
      </c>
      <c r="C53" t="s" s="0">
        <v>254</v>
      </c>
      <c r="D53" t="s" s="0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FE32-489D-40C4-9E04-0FC746758B39}">
  <dimension ref="A1:M13"/>
  <sheetViews>
    <sheetView workbookViewId="0">
      <selection activeCell="C16" sqref="C16"/>
    </sheetView>
  </sheetViews>
  <sheetFormatPr defaultRowHeight="14.5" x14ac:dyDescent="0.35"/>
  <cols>
    <col min="1" max="1" bestFit="true" customWidth="true" width="12.26953125"/>
    <col min="2" max="2" bestFit="true" customWidth="true" width="25.36328125"/>
    <col min="3" max="3" bestFit="true" customWidth="true" width="12.7265625"/>
    <col min="4" max="4" bestFit="true" customWidth="true" width="11.6328125"/>
    <col min="5" max="5" bestFit="true" customWidth="true" width="17.90625"/>
    <col min="6" max="6" bestFit="true" customWidth="true" width="20.36328125"/>
    <col min="7" max="7" bestFit="true" customWidth="true" width="16.453125"/>
    <col min="8" max="8" bestFit="true" customWidth="true" width="51.54296875"/>
    <col min="9" max="9" bestFit="true" customWidth="true" width="32.81640625"/>
    <col min="10" max="10" bestFit="true" customWidth="true" width="16.453125"/>
    <col min="12" max="12" bestFit="true" customWidth="true" width="62.90625"/>
    <col min="13" max="13" bestFit="true" customWidth="true" width="25.453125"/>
  </cols>
  <sheetData>
    <row r="1" spans="1:13" x14ac:dyDescent="0.35">
      <c r="A1" t="s" s="0">
        <v>188</v>
      </c>
      <c r="B1" t="s" s="0">
        <v>189</v>
      </c>
      <c r="C1" t="s" s="0">
        <v>190</v>
      </c>
      <c r="D1" t="s" s="0">
        <v>193</v>
      </c>
      <c r="E1" t="s" s="0">
        <v>195</v>
      </c>
      <c r="F1" t="s" s="0">
        <v>196</v>
      </c>
      <c r="G1" t="s" s="0">
        <v>198</v>
      </c>
      <c r="H1" t="s" s="0">
        <v>199</v>
      </c>
      <c r="I1" t="s" s="0">
        <v>201</v>
      </c>
      <c r="J1" t="s" s="0">
        <v>202</v>
      </c>
      <c r="K1" t="s" s="0">
        <v>2</v>
      </c>
      <c r="L1" t="s" s="0">
        <v>205</v>
      </c>
      <c r="M1" t="s" s="0">
        <v>207</v>
      </c>
    </row>
    <row r="2" spans="1:13" x14ac:dyDescent="0.35">
      <c r="A2" t="s" s="0">
        <v>187</v>
      </c>
      <c r="B2" t="s" s="0">
        <v>191</v>
      </c>
      <c r="C2" t="s" s="0">
        <v>192</v>
      </c>
      <c r="D2" t="s" s="0">
        <v>194</v>
      </c>
      <c r="E2" t="s" s="0">
        <v>181</v>
      </c>
      <c r="F2" t="s" s="0">
        <v>197</v>
      </c>
      <c r="G2" t="s" s="0">
        <v>182</v>
      </c>
      <c r="H2" t="s" s="0">
        <v>200</v>
      </c>
      <c r="I2" t="s" s="0">
        <v>61</v>
      </c>
      <c r="J2" t="s" s="0">
        <v>203</v>
      </c>
      <c r="K2" t="s" s="0">
        <v>204</v>
      </c>
      <c r="L2" t="s" s="0">
        <v>206</v>
      </c>
      <c r="M2" t="s" s="0">
        <v>208</v>
      </c>
    </row>
    <row r="3" spans="1:13" x14ac:dyDescent="0.35">
      <c r="A3" t="s" s="0">
        <v>210</v>
      </c>
      <c r="B3" t="s" s="0">
        <v>209</v>
      </c>
      <c r="C3" t="s" s="0">
        <v>192</v>
      </c>
      <c r="D3" t="s" s="0">
        <v>194</v>
      </c>
      <c r="E3" t="s" s="0">
        <v>212</v>
      </c>
      <c r="F3" t="s" s="0">
        <v>197</v>
      </c>
      <c r="G3" t="s" s="0">
        <v>182</v>
      </c>
      <c r="H3" t="s" s="0">
        <v>200</v>
      </c>
      <c r="I3" t="s" s="0">
        <v>61</v>
      </c>
      <c r="J3" t="s" s="0">
        <v>203</v>
      </c>
      <c r="K3" t="s" s="0">
        <v>204</v>
      </c>
      <c r="L3" t="s" s="0">
        <v>213</v>
      </c>
      <c r="M3" t="s" s="0">
        <v>208</v>
      </c>
    </row>
    <row r="4" spans="1:13" x14ac:dyDescent="0.35">
      <c r="A4" t="s" s="0">
        <v>215</v>
      </c>
    </row>
    <row r="5" spans="1:13" x14ac:dyDescent="0.35">
      <c r="A5" t="s" s="0">
        <v>218</v>
      </c>
      <c r="B5" t="s" s="0">
        <v>217</v>
      </c>
      <c r="C5" t="s" s="0">
        <v>192</v>
      </c>
      <c r="D5" t="s" s="0">
        <v>194</v>
      </c>
      <c r="E5" t="s" s="0">
        <v>212</v>
      </c>
      <c r="F5" t="s" s="0">
        <v>197</v>
      </c>
      <c r="G5" t="s" s="0">
        <v>182</v>
      </c>
      <c r="H5" t="s" s="0">
        <v>200</v>
      </c>
      <c r="I5" t="s" s="0">
        <v>61</v>
      </c>
      <c r="J5" t="s" s="0">
        <v>203</v>
      </c>
      <c r="K5" t="s" s="0">
        <v>204</v>
      </c>
      <c r="L5" t="s" s="0">
        <v>213</v>
      </c>
      <c r="M5" t="s" s="0">
        <v>208</v>
      </c>
    </row>
    <row r="6" spans="1:13" x14ac:dyDescent="0.35">
      <c r="A6" t="s" s="0">
        <v>218</v>
      </c>
      <c r="B6" t="s" s="0">
        <v>217</v>
      </c>
      <c r="C6" t="s" s="0">
        <v>192</v>
      </c>
      <c r="D6" t="s" s="0">
        <v>194</v>
      </c>
      <c r="E6" t="s" s="0">
        <v>212</v>
      </c>
      <c r="F6" t="s" s="0">
        <v>197</v>
      </c>
      <c r="G6" t="s" s="0">
        <v>182</v>
      </c>
      <c r="H6" t="s" s="0">
        <v>220</v>
      </c>
      <c r="I6" t="s" s="0">
        <v>61</v>
      </c>
      <c r="J6" t="s" s="0">
        <v>203</v>
      </c>
      <c r="K6" t="s" s="0">
        <v>204</v>
      </c>
      <c r="L6" t="s" s="0">
        <v>221</v>
      </c>
      <c r="M6" t="s" s="0">
        <v>222</v>
      </c>
    </row>
    <row r="7" spans="1:13" x14ac:dyDescent="0.35">
      <c r="A7" t="s" s="0">
        <v>218</v>
      </c>
      <c r="B7" t="s" s="0">
        <v>217</v>
      </c>
      <c r="C7" t="s" s="0">
        <v>192</v>
      </c>
      <c r="D7" t="s" s="0">
        <v>194</v>
      </c>
    </row>
    <row r="8" spans="1:13" x14ac:dyDescent="0.35">
      <c r="A8" t="s" s="0">
        <v>224</v>
      </c>
      <c r="B8" t="s" s="0">
        <v>223</v>
      </c>
      <c r="C8" t="s" s="0">
        <v>192</v>
      </c>
      <c r="D8" t="s" s="0">
        <v>194</v>
      </c>
      <c r="E8" t="s" s="0">
        <v>212</v>
      </c>
      <c r="F8" t="s" s="0">
        <v>197</v>
      </c>
      <c r="G8" t="s" s="0">
        <v>182</v>
      </c>
      <c r="H8" t="s" s="0">
        <v>220</v>
      </c>
      <c r="I8" t="s" s="0">
        <v>61</v>
      </c>
      <c r="J8" t="s" s="0">
        <v>203</v>
      </c>
      <c r="K8" t="s" s="0">
        <v>204</v>
      </c>
      <c r="L8" t="s" s="0">
        <v>221</v>
      </c>
      <c r="M8" t="s" s="0">
        <v>222</v>
      </c>
    </row>
    <row r="9" spans="1:13" x14ac:dyDescent="0.35">
      <c r="A9" t="s" s="0">
        <v>228</v>
      </c>
      <c r="B9" t="s" s="0">
        <v>227</v>
      </c>
      <c r="C9" t="s" s="0">
        <v>192</v>
      </c>
      <c r="D9" t="s" s="0">
        <v>194</v>
      </c>
      <c r="E9" t="s" s="0">
        <v>212</v>
      </c>
      <c r="F9" t="s" s="0">
        <v>197</v>
      </c>
      <c r="G9" t="s" s="0">
        <v>182</v>
      </c>
      <c r="H9" t="s" s="0">
        <v>220</v>
      </c>
      <c r="I9" t="s" s="0">
        <v>61</v>
      </c>
      <c r="J9" t="s" s="0">
        <v>203</v>
      </c>
      <c r="K9" t="s" s="0">
        <v>204</v>
      </c>
      <c r="L9" t="s" s="0">
        <v>221</v>
      </c>
      <c r="M9" t="s" s="0">
        <v>222</v>
      </c>
    </row>
    <row r="10" spans="1:13" x14ac:dyDescent="0.35">
      <c r="A10" t="s" s="0">
        <v>230</v>
      </c>
      <c r="B10" t="s" s="0">
        <v>229</v>
      </c>
      <c r="C10" t="s" s="0">
        <v>192</v>
      </c>
      <c r="D10" t="s" s="0">
        <v>194</v>
      </c>
      <c r="E10" t="s" s="0">
        <v>212</v>
      </c>
      <c r="F10" t="s" s="0">
        <v>197</v>
      </c>
      <c r="G10" t="s" s="0">
        <v>182</v>
      </c>
      <c r="H10" t="s" s="0">
        <v>220</v>
      </c>
      <c r="I10" t="s" s="0">
        <v>61</v>
      </c>
      <c r="J10" t="s" s="0">
        <v>203</v>
      </c>
      <c r="K10" t="s" s="0">
        <v>204</v>
      </c>
      <c r="L10" t="s" s="0">
        <v>221</v>
      </c>
      <c r="M10" t="s" s="0">
        <v>222</v>
      </c>
    </row>
    <row r="11" spans="1:13" x14ac:dyDescent="0.35">
      <c r="A11" t="s" s="0">
        <v>232</v>
      </c>
      <c r="B11" t="s" s="0">
        <v>231</v>
      </c>
      <c r="C11" t="s" s="0">
        <v>192</v>
      </c>
      <c r="D11" t="s" s="0">
        <v>194</v>
      </c>
      <c r="E11" t="s" s="0">
        <v>212</v>
      </c>
      <c r="F11" t="s" s="0">
        <v>197</v>
      </c>
      <c r="G11" t="s" s="0">
        <v>182</v>
      </c>
      <c r="H11" t="s" s="0">
        <v>220</v>
      </c>
      <c r="I11" t="s" s="0">
        <v>61</v>
      </c>
      <c r="J11" t="s" s="0">
        <v>203</v>
      </c>
      <c r="K11" t="s" s="0">
        <v>204</v>
      </c>
      <c r="L11" t="s" s="0">
        <v>221</v>
      </c>
      <c r="M11" t="s" s="0">
        <v>222</v>
      </c>
    </row>
    <row r="12" spans="1:13" x14ac:dyDescent="0.35">
      <c r="A12" t="s" s="0">
        <v>238</v>
      </c>
      <c r="B12" t="s" s="0">
        <v>237</v>
      </c>
      <c r="C12" t="s" s="0">
        <v>239</v>
      </c>
      <c r="D12" t="s" s="0">
        <v>194</v>
      </c>
      <c r="E12" t="s" s="0">
        <v>240</v>
      </c>
      <c r="F12" t="s" s="0">
        <v>197</v>
      </c>
      <c r="G12" t="s" s="0">
        <v>234</v>
      </c>
      <c r="H12" t="s" s="0">
        <v>241</v>
      </c>
      <c r="I12" t="s" s="0">
        <v>61</v>
      </c>
      <c r="J12" t="s" s="0">
        <v>242</v>
      </c>
      <c r="K12" t="s" s="0">
        <v>243</v>
      </c>
      <c r="L12" t="s" s="0">
        <v>244</v>
      </c>
      <c r="M12" t="s" s="0">
        <v>222</v>
      </c>
    </row>
    <row r="13" spans="1:13" x14ac:dyDescent="0.35">
      <c r="A13" t="s" s="0">
        <v>246</v>
      </c>
      <c r="B13" t="s" s="0">
        <v>245</v>
      </c>
      <c r="C13" t="s" s="0">
        <v>239</v>
      </c>
      <c r="D13" t="s" s="0">
        <v>247</v>
      </c>
      <c r="E13" t="s" s="0">
        <v>240</v>
      </c>
      <c r="F13" t="s" s="0">
        <v>197</v>
      </c>
      <c r="G13" t="s" s="0">
        <v>179</v>
      </c>
      <c r="H13" t="s" s="0">
        <v>179</v>
      </c>
      <c r="I13" t="s" s="0">
        <v>179</v>
      </c>
      <c r="J13" t="s" s="0">
        <v>179</v>
      </c>
      <c r="K13" t="s" s="0">
        <v>179</v>
      </c>
      <c r="L13" t="s" s="0">
        <v>179</v>
      </c>
      <c r="M13" t="s" s="0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MGList</vt:lpstr>
      <vt:lpstr>CirrusValidation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Chowdhary, Janeshwar</dc:creator>
  <cp:lastModifiedBy>Chowdhary, Janeshwar</cp:lastModifiedBy>
  <dcterms:modified xsi:type="dcterms:W3CDTF">2026-03-16T09:01:18Z</dcterms:modified>
</cp:coreProperties>
</file>